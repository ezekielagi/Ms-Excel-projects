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zekiel\Desktop\atez\TRAINING\DATA ANALYSIS\EXCEL TUTORIALS\DASHBOARDS\PW atez100%\"/>
    </mc:Choice>
  </mc:AlternateContent>
  <xr:revisionPtr revIDLastSave="0" documentId="13_ncr:1_{0CD144C2-B54F-4095-9A48-1B4755FD1973}" xr6:coauthVersionLast="47" xr6:coauthVersionMax="47" xr10:uidLastSave="{00000000-0000-0000-0000-000000000000}"/>
  <bookViews>
    <workbookView xWindow="-120" yWindow="-120" windowWidth="20730" windowHeight="11160" xr2:uid="{4735DFEB-04B0-48BD-BE53-C358883D324E}"/>
  </bookViews>
  <sheets>
    <sheet name="PROFIT &amp; LOSS (P&amp;L)" sheetId="1" r:id="rId1"/>
    <sheet name="P&amp;L SUMMARY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" i="1" l="1"/>
  <c r="N6" i="1"/>
  <c r="N9" i="1"/>
  <c r="B7" i="1"/>
  <c r="J24" i="1"/>
  <c r="N27" i="1"/>
  <c r="M24" i="1"/>
  <c r="L24" i="1"/>
  <c r="K24" i="1"/>
  <c r="I24" i="1"/>
  <c r="H24" i="1"/>
  <c r="G24" i="1"/>
  <c r="F24" i="1"/>
  <c r="E24" i="1"/>
  <c r="D24" i="1"/>
  <c r="C24" i="1"/>
  <c r="B24" i="1"/>
  <c r="N23" i="1"/>
  <c r="N22" i="1"/>
  <c r="N21" i="1"/>
  <c r="N20" i="1"/>
  <c r="N19" i="1"/>
  <c r="N18" i="1"/>
  <c r="N17" i="1"/>
  <c r="N16" i="1"/>
  <c r="N15" i="1"/>
  <c r="N14" i="1"/>
  <c r="N13" i="1"/>
  <c r="B10" i="1"/>
  <c r="B25" i="1" s="1"/>
  <c r="B28" i="1" s="1"/>
  <c r="M7" i="1"/>
  <c r="M10" i="1" s="1"/>
  <c r="M25" i="1" s="1"/>
  <c r="M28" i="1" s="1"/>
  <c r="L7" i="1"/>
  <c r="L10" i="1" s="1"/>
  <c r="L25" i="1" s="1"/>
  <c r="L28" i="1" s="1"/>
  <c r="K7" i="1"/>
  <c r="K10" i="1" s="1"/>
  <c r="J7" i="1"/>
  <c r="J10" i="1" s="1"/>
  <c r="I7" i="1"/>
  <c r="I10" i="1" s="1"/>
  <c r="I25" i="1" s="1"/>
  <c r="I28" i="1" s="1"/>
  <c r="H7" i="1"/>
  <c r="H10" i="1" s="1"/>
  <c r="H25" i="1" s="1"/>
  <c r="H28" i="1" s="1"/>
  <c r="G7" i="1"/>
  <c r="G10" i="1" s="1"/>
  <c r="G25" i="1" s="1"/>
  <c r="G28" i="1" s="1"/>
  <c r="F7" i="1"/>
  <c r="F10" i="1" s="1"/>
  <c r="F25" i="1" s="1"/>
  <c r="F28" i="1" s="1"/>
  <c r="E7" i="1"/>
  <c r="E10" i="1" s="1"/>
  <c r="E25" i="1" s="1"/>
  <c r="E28" i="1" s="1"/>
  <c r="D7" i="1"/>
  <c r="D10" i="1" s="1"/>
  <c r="D25" i="1" s="1"/>
  <c r="D28" i="1" s="1"/>
  <c r="C7" i="1"/>
  <c r="C10" i="1" s="1"/>
  <c r="N4" i="1"/>
  <c r="N7" i="1" l="1"/>
  <c r="J25" i="1"/>
  <c r="J28" i="1" s="1"/>
  <c r="K25" i="1"/>
  <c r="K28" i="1" s="1"/>
  <c r="N24" i="1"/>
  <c r="N10" i="1"/>
  <c r="N25" i="1" s="1"/>
  <c r="N28" i="1" s="1"/>
  <c r="C25" i="1"/>
  <c r="C28" i="1" s="1"/>
</calcChain>
</file>

<file path=xl/sharedStrings.xml><?xml version="1.0" encoding="utf-8"?>
<sst xmlns="http://schemas.openxmlformats.org/spreadsheetml/2006/main" count="67" uniqueCount="44">
  <si>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</si>
  <si>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</si>
  <si>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</si>
  <si>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</si>
  <si>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</si>
  <si>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</si>
  <si>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</si>
  <si>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</si>
  <si>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</si>
  <si>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</si>
  <si>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</si>
  <si>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</si>
  <si>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Revenue Stream 1</t>
  </si>
  <si>
    <t>Revenue stream 2</t>
  </si>
  <si>
    <t>Returns, refunds &amp; discounts</t>
  </si>
  <si>
    <t>Total Revenue generated</t>
  </si>
  <si>
    <t>[NAME OF COMPANY]</t>
  </si>
  <si>
    <t>Profit &amp; Loss Satement (P&amp;L)</t>
  </si>
  <si>
    <t>[CURRENCY ]</t>
  </si>
  <si>
    <t>FULL YEAR</t>
  </si>
  <si>
    <t xml:space="preserve"> </t>
  </si>
  <si>
    <t>Cost of goods sold</t>
  </si>
  <si>
    <t>Gross profit</t>
  </si>
  <si>
    <t>EXPENSES</t>
  </si>
  <si>
    <t>Advertising and promotion</t>
  </si>
  <si>
    <t>Depreciation &amp; Amonization</t>
  </si>
  <si>
    <t>Insurance</t>
  </si>
  <si>
    <t>Maintenance</t>
  </si>
  <si>
    <t>Office supplies</t>
  </si>
  <si>
    <t>Rents</t>
  </si>
  <si>
    <t>Salaries, benefits &amp; wages</t>
  </si>
  <si>
    <t>Telecommunication</t>
  </si>
  <si>
    <t>Travel</t>
  </si>
  <si>
    <t>Utilities</t>
  </si>
  <si>
    <t>Other expenses</t>
  </si>
  <si>
    <t>TOTAL EXPENSES</t>
  </si>
  <si>
    <t>Earnings before interest &amp; Taxes</t>
  </si>
  <si>
    <t>Interest &amp; Taxes</t>
  </si>
  <si>
    <t>Net Earnings</t>
  </si>
  <si>
    <t>VIEW P&amp;L SUMMARY ON THE NEXT SHEET FOR MORE DETAILS</t>
  </si>
  <si>
    <t>COMMENT</t>
  </si>
  <si>
    <t xml:space="preserve">click here to contact author </t>
  </si>
  <si>
    <t>"The compaby recorded a net profit of over six million (6,000,000) for the period, representing a strong performance. This reflecrts effective cost control and revenue growth. Mnagement should consider reinvestment strategies and dividend policy based on this result".</t>
  </si>
  <si>
    <t>[COMPANY NAME] P&amp;L FOR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</si>
</sst>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#,##0.00;[Red]#,##0.00"/>
    <numFmt numFmtId="165" formatCode="[$₦-46A]#,##0.00"/>
  </numFmts>
  <fonts count="9" x14ac:knownFonts="1">
    <font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Eras Bold ITC"/>
      <family val="2"/>
    </font>
    <font>
      <sz val="26"/>
      <color theme="4"/>
      <name val="Calibri"/>
      <family val="2"/>
      <scheme val="minor"/>
    </font>
    <font>
      <i/>
      <sz val="14"/>
      <color theme="1"/>
      <name val="Agency FB"/>
      <family val="2"/>
    </font>
    <font>
      <u/>
      <sz val="14"/>
      <color theme="10"/>
      <name val="Calibri"/>
      <family val="2"/>
      <scheme val="minor"/>
    </font>
    <font>
      <sz val="26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E61E"/>
        <bgColor indexed="64"/>
      </patternFill>
    </fill>
    <fill>
      <patternFill patternType="solid">
        <fgColor theme="9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35">
    <xf numFmtId="0" fontId="0" fillId="0" borderId="0" xfId="0"/>
    <xf numFmtId="164" fontId="0" fillId="0" borderId="0" xfId="0" applyNumberFormat="1"/>
    <xf numFmtId="164" fontId="0" fillId="0" borderId="0" xfId="1" applyNumberFormat="1" applyFont="1"/>
    <xf numFmtId="164" fontId="0" fillId="4" borderId="0" xfId="0" applyNumberFormat="1" applyFill="1"/>
    <xf numFmtId="164" fontId="2" fillId="5" borderId="0" xfId="0" applyNumberFormat="1" applyFont="1" applyFill="1"/>
    <xf numFmtId="164" fontId="0" fillId="7" borderId="0" xfId="0" applyNumberFormat="1" applyFill="1"/>
    <xf numFmtId="164" fontId="0" fillId="8" borderId="0" xfId="0" applyNumberFormat="1" applyFill="1"/>
    <xf numFmtId="164" fontId="0" fillId="2" borderId="0" xfId="0" applyNumberFormat="1" applyFill="1"/>
    <xf numFmtId="164" fontId="3" fillId="0" borderId="0" xfId="1" applyNumberFormat="1" applyFont="1"/>
    <xf numFmtId="164" fontId="4" fillId="2" borderId="1" xfId="0" applyNumberFormat="1" applyFon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64" fontId="0" fillId="6" borderId="1" xfId="0" applyNumberFormat="1" applyFill="1" applyBorder="1"/>
    <xf numFmtId="164" fontId="0" fillId="3" borderId="1" xfId="0" applyNumberFormat="1" applyFill="1" applyBorder="1"/>
    <xf numFmtId="164" fontId="0" fillId="0" borderId="1" xfId="0" applyNumberFormat="1" applyBorder="1"/>
    <xf numFmtId="164" fontId="0" fillId="0" borderId="1" xfId="1" applyNumberFormat="1" applyFont="1" applyBorder="1"/>
    <xf numFmtId="164" fontId="3" fillId="0" borderId="1" xfId="0" applyNumberFormat="1" applyFont="1" applyBorder="1"/>
    <xf numFmtId="164" fontId="0" fillId="2" borderId="1" xfId="0" applyNumberFormat="1" applyFill="1" applyBorder="1"/>
    <xf numFmtId="164" fontId="2" fillId="5" borderId="1" xfId="0" applyNumberFormat="1" applyFont="1" applyFill="1" applyBorder="1"/>
    <xf numFmtId="164" fontId="0" fillId="5" borderId="1" xfId="0" applyNumberFormat="1" applyFill="1" applyBorder="1"/>
    <xf numFmtId="164" fontId="0" fillId="4" borderId="1" xfId="0" applyNumberFormat="1" applyFill="1" applyBorder="1"/>
    <xf numFmtId="164" fontId="0" fillId="8" borderId="1" xfId="0" applyNumberFormat="1" applyFill="1" applyBorder="1"/>
    <xf numFmtId="164" fontId="0" fillId="7" borderId="1" xfId="0" applyNumberFormat="1" applyFill="1" applyBorder="1"/>
    <xf numFmtId="0" fontId="0" fillId="0" borderId="0" xfId="0" applyAlignment="1">
      <alignment vertical="top" wrapText="1"/>
    </xf>
    <xf numFmtId="0" fontId="7" fillId="0" borderId="0" xfId="2" applyAlignment="1">
      <alignment horizontal="center" vertical="top" wrapText="1"/>
    </xf>
    <xf numFmtId="0" fontId="8" fillId="3" borderId="3" xfId="0" applyFont="1" applyFill="1" applyBorder="1" applyAlignment="1">
      <alignment horizontal="center"/>
    </xf>
    <xf numFmtId="0" fontId="8" fillId="3" borderId="4" xfId="0" applyFont="1" applyFill="1" applyBorder="1" applyAlignment="1">
      <alignment horizontal="center"/>
    </xf>
    <xf numFmtId="0" fontId="8" fillId="3" borderId="5" xfId="0" applyFont="1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164" fontId="5" fillId="0" borderId="1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top"/>
    </xf>
    <xf numFmtId="0" fontId="6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 wrapText="1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28E6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ezekielagi9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8EBB9-EE02-4D99-B322-3D8965FE75C6}">
  <sheetPr codeName="Sheet1"/>
  <dimension ref="A1:N31"/>
  <sheetViews>
    <sheetView tabSelected="1" zoomScale="73" zoomScaleNormal="73" workbookViewId="0">
      <selection activeCell="D6" sqref="D6"/>
    </sheetView>
  </sheetViews>
  <sheetFormatPr defaultRowHeight="18.75" x14ac:dyDescent="0.3"/>
  <cols>
    <col min="1" max="1" width="31.19921875" style="1" bestFit="1" customWidth="1"/>
    <col min="2" max="2" width="11.59765625" style="1" bestFit="1" customWidth="1"/>
    <col min="3" max="3" width="11.5" style="1" bestFit="1" customWidth="1"/>
    <col min="4" max="4" width="11.09765625" style="1" bestFit="1" customWidth="1"/>
    <col min="5" max="5" width="11.5" style="1" bestFit="1" customWidth="1"/>
    <col min="6" max="6" width="10.09765625" style="1" bestFit="1" customWidth="1"/>
    <col min="7" max="7" width="12" style="1" bestFit="1" customWidth="1"/>
    <col min="8" max="8" width="10.09765625" style="1" bestFit="1" customWidth="1"/>
    <col min="9" max="9" width="11.5" style="1" bestFit="1" customWidth="1"/>
    <col min="10" max="10" width="11.09765625" style="1" bestFit="1" customWidth="1"/>
    <col min="11" max="11" width="10.09765625" style="1" bestFit="1" customWidth="1"/>
    <col min="12" max="12" width="11.5" style="1" bestFit="1" customWidth="1"/>
    <col min="13" max="13" width="12" style="1" bestFit="1" customWidth="1"/>
    <col min="14" max="14" width="12.5" style="1" bestFit="1" customWidth="1"/>
    <col min="15" max="16384" width="8.796875" style="1"/>
  </cols>
  <sheetData>
    <row r="1" spans="1:14" ht="23.25" x14ac:dyDescent="0.35">
      <c r="A1" s="9" t="s">
        <v>16</v>
      </c>
      <c r="B1" s="24">
        <v>2025</v>
      </c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6"/>
    </row>
    <row r="2" spans="1:14" x14ac:dyDescent="0.3">
      <c r="A2" t="s">
        <v>17</v>
      </c>
      <c r="B2" s="27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</row>
    <row r="3" spans="1:14" x14ac:dyDescent="0.3">
      <c r="A3" s="10" t="s">
        <v>18</v>
      </c>
      <c r="B3" s="11" t="s">
        <v>0</v>
      </c>
      <c r="C3" s="11" t="s">
        <v>1</v>
      </c>
      <c r="D3" s="11" t="s">
        <v>2</v>
      </c>
      <c r="E3" s="11" t="s">
        <v>3</v>
      </c>
      <c r="F3" s="11" t="s">
        <v>4</v>
      </c>
      <c r="G3" s="11" t="s">
        <v>5</v>
      </c>
      <c r="H3" s="11" t="s">
        <v>6</v>
      </c>
      <c r="I3" s="11" t="s">
        <v>7</v>
      </c>
      <c r="J3" s="11" t="s">
        <v>8</v>
      </c>
      <c r="K3" s="11" t="s">
        <v>9</v>
      </c>
      <c r="L3" s="11" t="s">
        <v>10</v>
      </c>
      <c r="M3" s="11" t="s">
        <v>11</v>
      </c>
      <c r="N3" s="12" t="s">
        <v>19</v>
      </c>
    </row>
    <row r="4" spans="1:14" x14ac:dyDescent="0.3">
      <c r="A4" s="13" t="s">
        <v>12</v>
      </c>
      <c r="B4" s="14">
        <v>768900</v>
      </c>
      <c r="C4" s="14">
        <v>567345</v>
      </c>
      <c r="D4" s="14">
        <v>279607</v>
      </c>
      <c r="E4" s="14">
        <v>998765</v>
      </c>
      <c r="F4" s="14">
        <v>498672</v>
      </c>
      <c r="G4" s="14">
        <v>389678</v>
      </c>
      <c r="H4" s="14">
        <v>348976</v>
      </c>
      <c r="I4" s="14">
        <v>895399</v>
      </c>
      <c r="J4" s="14">
        <v>456555</v>
      </c>
      <c r="K4" s="14">
        <v>321966</v>
      </c>
      <c r="L4" s="14">
        <v>789499</v>
      </c>
      <c r="M4" s="14">
        <v>1987896</v>
      </c>
      <c r="N4" s="13">
        <f>SUM(B4:M4)</f>
        <v>8303258</v>
      </c>
    </row>
    <row r="5" spans="1:14" x14ac:dyDescent="0.3">
      <c r="A5" s="13" t="s">
        <v>13</v>
      </c>
      <c r="B5" s="14">
        <v>678534</v>
      </c>
      <c r="C5" s="14">
        <v>467894</v>
      </c>
      <c r="D5" s="14">
        <v>213907</v>
      </c>
      <c r="E5" s="14">
        <v>747894</v>
      </c>
      <c r="F5" s="14">
        <v>246789</v>
      </c>
      <c r="G5" s="14">
        <v>3975978</v>
      </c>
      <c r="H5" s="14">
        <v>389567</v>
      </c>
      <c r="I5" s="14">
        <v>670978</v>
      </c>
      <c r="J5" s="14">
        <v>98268</v>
      </c>
      <c r="K5" s="14">
        <v>569423</v>
      </c>
      <c r="L5" s="14">
        <v>609578</v>
      </c>
      <c r="M5" s="14">
        <v>899979</v>
      </c>
      <c r="N5" s="13">
        <f>SUM(B5:M5)</f>
        <v>9568789</v>
      </c>
    </row>
    <row r="6" spans="1:14" x14ac:dyDescent="0.3">
      <c r="A6" s="13" t="s">
        <v>14</v>
      </c>
      <c r="B6" s="15">
        <v>-56744</v>
      </c>
      <c r="C6" s="15">
        <v>-45676</v>
      </c>
      <c r="D6" s="15">
        <v>-54543</v>
      </c>
      <c r="E6" s="15">
        <v>-39860</v>
      </c>
      <c r="F6" s="15">
        <v>-21765</v>
      </c>
      <c r="G6" s="15">
        <v>-77239</v>
      </c>
      <c r="H6" s="15">
        <v>-2980</v>
      </c>
      <c r="I6" s="15">
        <v>-5423</v>
      </c>
      <c r="J6" s="15">
        <v>-3213</v>
      </c>
      <c r="K6" s="15">
        <v>-2415</v>
      </c>
      <c r="L6" s="15">
        <v>-4321</v>
      </c>
      <c r="M6" s="15">
        <v>-56789</v>
      </c>
      <c r="N6" s="13">
        <f>SUM(B6:M6)</f>
        <v>-370968</v>
      </c>
    </row>
    <row r="7" spans="1:14" x14ac:dyDescent="0.3">
      <c r="A7" s="13" t="s">
        <v>15</v>
      </c>
      <c r="B7" s="13">
        <f t="shared" ref="B7:M7" si="0">SUM(B4:B6)</f>
        <v>1390690</v>
      </c>
      <c r="C7" s="13">
        <f t="shared" si="0"/>
        <v>989563</v>
      </c>
      <c r="D7" s="13">
        <f t="shared" si="0"/>
        <v>438971</v>
      </c>
      <c r="E7" s="13">
        <f t="shared" si="0"/>
        <v>1706799</v>
      </c>
      <c r="F7" s="13">
        <f t="shared" si="0"/>
        <v>723696</v>
      </c>
      <c r="G7" s="13">
        <f t="shared" si="0"/>
        <v>4288417</v>
      </c>
      <c r="H7" s="13">
        <f t="shared" si="0"/>
        <v>735563</v>
      </c>
      <c r="I7" s="13">
        <f t="shared" si="0"/>
        <v>1560954</v>
      </c>
      <c r="J7" s="13">
        <f t="shared" si="0"/>
        <v>551610</v>
      </c>
      <c r="K7" s="13">
        <f t="shared" si="0"/>
        <v>888974</v>
      </c>
      <c r="L7" s="13">
        <f t="shared" si="0"/>
        <v>1394756</v>
      </c>
      <c r="M7" s="13">
        <f t="shared" si="0"/>
        <v>2831086</v>
      </c>
      <c r="N7" s="13">
        <f>SUM(B7:M7)</f>
        <v>17501079</v>
      </c>
    </row>
    <row r="8" spans="1:14" x14ac:dyDescent="0.3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 t="s">
        <v>20</v>
      </c>
    </row>
    <row r="9" spans="1:14" x14ac:dyDescent="0.3">
      <c r="A9" s="13" t="s">
        <v>21</v>
      </c>
      <c r="B9" s="13">
        <v>348930</v>
      </c>
      <c r="C9" s="13">
        <v>311900</v>
      </c>
      <c r="D9" s="13">
        <v>189530</v>
      </c>
      <c r="E9" s="13">
        <v>525893</v>
      </c>
      <c r="F9" s="13">
        <v>278340</v>
      </c>
      <c r="G9" s="13">
        <v>101732</v>
      </c>
      <c r="H9" s="13">
        <v>273041</v>
      </c>
      <c r="I9" s="13">
        <v>529184</v>
      </c>
      <c r="J9" s="13">
        <v>277231</v>
      </c>
      <c r="K9" s="13">
        <v>315980</v>
      </c>
      <c r="L9" s="13">
        <v>416872</v>
      </c>
      <c r="M9" s="13">
        <v>793021</v>
      </c>
      <c r="N9" s="13">
        <f>SUM(B9:M9)</f>
        <v>4361654</v>
      </c>
    </row>
    <row r="10" spans="1:14" x14ac:dyDescent="0.3">
      <c r="A10" s="16" t="s">
        <v>22</v>
      </c>
      <c r="B10" s="16">
        <f t="shared" ref="B10:M10" si="1">B7-B9</f>
        <v>1041760</v>
      </c>
      <c r="C10" s="16">
        <f t="shared" si="1"/>
        <v>677663</v>
      </c>
      <c r="D10" s="16">
        <f t="shared" si="1"/>
        <v>249441</v>
      </c>
      <c r="E10" s="16">
        <f t="shared" si="1"/>
        <v>1180906</v>
      </c>
      <c r="F10" s="16">
        <f t="shared" si="1"/>
        <v>445356</v>
      </c>
      <c r="G10" s="16">
        <f t="shared" si="1"/>
        <v>4186685</v>
      </c>
      <c r="H10" s="16">
        <f t="shared" si="1"/>
        <v>462522</v>
      </c>
      <c r="I10" s="16">
        <f t="shared" si="1"/>
        <v>1031770</v>
      </c>
      <c r="J10" s="16">
        <f t="shared" si="1"/>
        <v>274379</v>
      </c>
      <c r="K10" s="16">
        <f t="shared" si="1"/>
        <v>572994</v>
      </c>
      <c r="L10" s="16">
        <f t="shared" si="1"/>
        <v>977884</v>
      </c>
      <c r="M10" s="16">
        <f t="shared" si="1"/>
        <v>2038065</v>
      </c>
      <c r="N10" s="13">
        <f>SUM(B10:M10)</f>
        <v>13139425</v>
      </c>
    </row>
    <row r="11" spans="1:14" x14ac:dyDescent="0.3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</row>
    <row r="12" spans="1:14" x14ac:dyDescent="0.3">
      <c r="A12" s="17" t="s">
        <v>23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</row>
    <row r="13" spans="1:14" x14ac:dyDescent="0.3">
      <c r="A13" s="13" t="s">
        <v>24</v>
      </c>
      <c r="B13" s="13">
        <v>23910</v>
      </c>
      <c r="C13" s="13">
        <v>41462</v>
      </c>
      <c r="D13" s="13">
        <v>15600</v>
      </c>
      <c r="E13" s="13">
        <v>71248</v>
      </c>
      <c r="F13" s="13">
        <v>17289</v>
      </c>
      <c r="G13" s="13">
        <v>88492</v>
      </c>
      <c r="H13" s="13">
        <v>19274</v>
      </c>
      <c r="I13" s="13">
        <v>62189</v>
      </c>
      <c r="J13" s="13">
        <v>11930</v>
      </c>
      <c r="K13" s="13">
        <v>27902</v>
      </c>
      <c r="L13" s="13">
        <v>19392</v>
      </c>
      <c r="M13" s="13">
        <v>87492</v>
      </c>
      <c r="N13" s="13">
        <f t="shared" ref="N13:N23" si="2">SUM(B13:M13)</f>
        <v>486180</v>
      </c>
    </row>
    <row r="14" spans="1:14" x14ac:dyDescent="0.3">
      <c r="A14" s="13" t="s">
        <v>25</v>
      </c>
      <c r="B14" s="13">
        <v>17291</v>
      </c>
      <c r="C14" s="13">
        <v>23712</v>
      </c>
      <c r="D14" s="13">
        <v>10409</v>
      </c>
      <c r="E14" s="13">
        <v>17439</v>
      </c>
      <c r="F14" s="13">
        <v>3902</v>
      </c>
      <c r="G14" s="13">
        <v>31590</v>
      </c>
      <c r="H14" s="13">
        <v>6903</v>
      </c>
      <c r="I14" s="13">
        <v>8312</v>
      </c>
      <c r="J14" s="13">
        <v>9473</v>
      </c>
      <c r="K14" s="13">
        <v>14790</v>
      </c>
      <c r="L14" s="13">
        <v>6902</v>
      </c>
      <c r="M14" s="13">
        <v>26371</v>
      </c>
      <c r="N14" s="13">
        <f t="shared" si="2"/>
        <v>177094</v>
      </c>
    </row>
    <row r="15" spans="1:14" x14ac:dyDescent="0.3">
      <c r="A15" s="13" t="s">
        <v>26</v>
      </c>
      <c r="B15" s="13">
        <v>21000</v>
      </c>
      <c r="C15" s="13">
        <v>21000</v>
      </c>
      <c r="D15" s="13">
        <v>21000</v>
      </c>
      <c r="E15" s="13">
        <v>21000</v>
      </c>
      <c r="F15" s="13">
        <v>21000</v>
      </c>
      <c r="G15" s="13">
        <v>21000</v>
      </c>
      <c r="H15" s="13">
        <v>21000</v>
      </c>
      <c r="I15" s="13">
        <v>21000</v>
      </c>
      <c r="J15" s="13">
        <v>21000</v>
      </c>
      <c r="K15" s="13">
        <v>21000</v>
      </c>
      <c r="L15" s="13">
        <v>21000</v>
      </c>
      <c r="M15" s="13">
        <v>21000</v>
      </c>
      <c r="N15" s="13">
        <f t="shared" si="2"/>
        <v>252000</v>
      </c>
    </row>
    <row r="16" spans="1:14" x14ac:dyDescent="0.3">
      <c r="A16" s="13" t="s">
        <v>27</v>
      </c>
      <c r="B16" s="13">
        <v>17092</v>
      </c>
      <c r="C16" s="13">
        <v>24000</v>
      </c>
      <c r="D16" s="13">
        <v>478</v>
      </c>
      <c r="E16" s="13">
        <v>16200</v>
      </c>
      <c r="F16" s="13">
        <v>8920</v>
      </c>
      <c r="G16" s="13">
        <v>4580</v>
      </c>
      <c r="H16" s="13">
        <v>17390</v>
      </c>
      <c r="I16" s="13">
        <v>12783</v>
      </c>
      <c r="J16" s="13">
        <v>15893</v>
      </c>
      <c r="K16" s="13">
        <v>28159</v>
      </c>
      <c r="L16" s="13">
        <v>17111</v>
      </c>
      <c r="M16" s="13">
        <v>9300</v>
      </c>
      <c r="N16" s="13">
        <f t="shared" si="2"/>
        <v>171906</v>
      </c>
    </row>
    <row r="17" spans="1:14" x14ac:dyDescent="0.3">
      <c r="A17" s="13" t="s">
        <v>28</v>
      </c>
      <c r="B17" s="13">
        <v>23901</v>
      </c>
      <c r="C17" s="13">
        <v>7321</v>
      </c>
      <c r="D17" s="13">
        <v>34920</v>
      </c>
      <c r="E17" s="13">
        <v>40000</v>
      </c>
      <c r="F17" s="13">
        <v>25189</v>
      </c>
      <c r="G17" s="13">
        <v>83193</v>
      </c>
      <c r="H17" s="13">
        <v>17390</v>
      </c>
      <c r="I17" s="13">
        <v>17438</v>
      </c>
      <c r="J17" s="13">
        <v>18493</v>
      </c>
      <c r="K17" s="13">
        <v>19348</v>
      </c>
      <c r="L17" s="13">
        <v>17502</v>
      </c>
      <c r="M17" s="13">
        <v>17493</v>
      </c>
      <c r="N17" s="13">
        <f t="shared" si="2"/>
        <v>322188</v>
      </c>
    </row>
    <row r="18" spans="1:14" x14ac:dyDescent="0.3">
      <c r="A18" s="13" t="s">
        <v>29</v>
      </c>
      <c r="B18" s="13">
        <v>73000</v>
      </c>
      <c r="C18" s="13">
        <v>17449</v>
      </c>
      <c r="D18" s="13">
        <v>62000</v>
      </c>
      <c r="E18" s="13">
        <v>19489</v>
      </c>
      <c r="F18" s="13">
        <v>43000</v>
      </c>
      <c r="G18" s="13">
        <v>29495</v>
      </c>
      <c r="H18" s="13">
        <v>37190</v>
      </c>
      <c r="I18" s="13">
        <v>32153</v>
      </c>
      <c r="J18" s="13">
        <v>24678</v>
      </c>
      <c r="K18" s="13">
        <v>21854</v>
      </c>
      <c r="L18" s="13">
        <v>13782</v>
      </c>
      <c r="M18" s="13">
        <v>59492</v>
      </c>
      <c r="N18" s="13">
        <f t="shared" si="2"/>
        <v>433582</v>
      </c>
    </row>
    <row r="19" spans="1:14" x14ac:dyDescent="0.3">
      <c r="A19" s="13" t="s">
        <v>30</v>
      </c>
      <c r="B19" s="13">
        <v>340000</v>
      </c>
      <c r="C19" s="13">
        <v>340000</v>
      </c>
      <c r="D19" s="13">
        <v>340000</v>
      </c>
      <c r="E19" s="13">
        <v>340000</v>
      </c>
      <c r="F19" s="13">
        <v>340000</v>
      </c>
      <c r="G19" s="13">
        <v>340000</v>
      </c>
      <c r="H19" s="13">
        <v>340000</v>
      </c>
      <c r="I19" s="13">
        <v>340000</v>
      </c>
      <c r="J19" s="13">
        <v>340000</v>
      </c>
      <c r="K19" s="13">
        <v>340000</v>
      </c>
      <c r="L19" s="13">
        <v>340000</v>
      </c>
      <c r="M19" s="13">
        <v>340000</v>
      </c>
      <c r="N19" s="13">
        <f t="shared" si="2"/>
        <v>4080000</v>
      </c>
    </row>
    <row r="20" spans="1:14" x14ac:dyDescent="0.3">
      <c r="A20" s="13" t="s">
        <v>31</v>
      </c>
      <c r="B20" s="13">
        <v>5900</v>
      </c>
      <c r="C20" s="13">
        <v>4720</v>
      </c>
      <c r="D20" s="13">
        <v>1789</v>
      </c>
      <c r="E20" s="13">
        <v>3930</v>
      </c>
      <c r="F20" s="13">
        <v>8437</v>
      </c>
      <c r="G20" s="13">
        <v>5903</v>
      </c>
      <c r="H20" s="13">
        <v>18490</v>
      </c>
      <c r="I20" s="13">
        <v>11900</v>
      </c>
      <c r="J20" s="13">
        <v>5892</v>
      </c>
      <c r="K20" s="13">
        <v>6291</v>
      </c>
      <c r="L20" s="13">
        <v>7810</v>
      </c>
      <c r="M20" s="13">
        <v>17239</v>
      </c>
      <c r="N20" s="13">
        <f t="shared" si="2"/>
        <v>98301</v>
      </c>
    </row>
    <row r="21" spans="1:14" x14ac:dyDescent="0.3">
      <c r="A21" s="13" t="s">
        <v>32</v>
      </c>
      <c r="B21" s="13">
        <v>23000</v>
      </c>
      <c r="C21" s="13">
        <v>41000</v>
      </c>
      <c r="D21" s="13">
        <v>32781</v>
      </c>
      <c r="E21" s="13">
        <v>19493</v>
      </c>
      <c r="F21" s="13">
        <v>17290</v>
      </c>
      <c r="G21" s="13">
        <v>59350</v>
      </c>
      <c r="H21" s="13">
        <v>19483</v>
      </c>
      <c r="I21" s="13">
        <v>32890</v>
      </c>
      <c r="J21" s="13">
        <v>17200</v>
      </c>
      <c r="K21" s="13">
        <v>32810</v>
      </c>
      <c r="L21" s="13">
        <v>29027</v>
      </c>
      <c r="M21" s="13">
        <v>49582</v>
      </c>
      <c r="N21" s="13">
        <f t="shared" si="2"/>
        <v>373906</v>
      </c>
    </row>
    <row r="22" spans="1:14" x14ac:dyDescent="0.3">
      <c r="A22" s="13" t="s">
        <v>33</v>
      </c>
      <c r="B22" s="13">
        <v>9300</v>
      </c>
      <c r="C22" s="13">
        <v>7290</v>
      </c>
      <c r="D22" s="13">
        <v>7902</v>
      </c>
      <c r="E22" s="13">
        <v>16290</v>
      </c>
      <c r="F22" s="13">
        <v>8920</v>
      </c>
      <c r="G22" s="13">
        <v>34901</v>
      </c>
      <c r="H22" s="13">
        <v>14892</v>
      </c>
      <c r="I22" s="13">
        <v>39821</v>
      </c>
      <c r="J22" s="13">
        <v>17481</v>
      </c>
      <c r="K22" s="13">
        <v>17389</v>
      </c>
      <c r="L22" s="13">
        <v>21903</v>
      </c>
      <c r="M22" s="13">
        <v>19460</v>
      </c>
      <c r="N22" s="13">
        <f t="shared" si="2"/>
        <v>215549</v>
      </c>
    </row>
    <row r="23" spans="1:14" x14ac:dyDescent="0.3">
      <c r="A23" s="13" t="s">
        <v>34</v>
      </c>
      <c r="B23" s="13">
        <v>15903</v>
      </c>
      <c r="C23" s="13">
        <v>5831</v>
      </c>
      <c r="D23" s="13">
        <v>8490</v>
      </c>
      <c r="E23" s="13">
        <v>7392</v>
      </c>
      <c r="F23" s="13">
        <v>11935</v>
      </c>
      <c r="G23" s="13">
        <v>27111</v>
      </c>
      <c r="H23" s="13">
        <v>8390</v>
      </c>
      <c r="I23" s="13">
        <v>43110</v>
      </c>
      <c r="J23" s="13">
        <v>4821</v>
      </c>
      <c r="K23" s="13">
        <v>16200</v>
      </c>
      <c r="L23" s="13">
        <v>31839</v>
      </c>
      <c r="M23" s="13">
        <v>39271</v>
      </c>
      <c r="N23" s="13">
        <f t="shared" si="2"/>
        <v>220293</v>
      </c>
    </row>
    <row r="24" spans="1:14" x14ac:dyDescent="0.3">
      <c r="A24" s="19" t="s">
        <v>35</v>
      </c>
      <c r="B24" s="13">
        <f>SUM(B13:B23)</f>
        <v>570297</v>
      </c>
      <c r="C24" s="13">
        <f t="shared" ref="C24:J24" si="3">SUM(C13:C23)</f>
        <v>533785</v>
      </c>
      <c r="D24" s="13">
        <f t="shared" si="3"/>
        <v>535369</v>
      </c>
      <c r="E24" s="13">
        <f t="shared" si="3"/>
        <v>572481</v>
      </c>
      <c r="F24" s="13">
        <f t="shared" si="3"/>
        <v>505882</v>
      </c>
      <c r="G24" s="13">
        <f t="shared" si="3"/>
        <v>725615</v>
      </c>
      <c r="H24" s="13">
        <f t="shared" si="3"/>
        <v>520402</v>
      </c>
      <c r="I24" s="13">
        <f t="shared" si="3"/>
        <v>621596</v>
      </c>
      <c r="J24" s="13">
        <f t="shared" si="3"/>
        <v>486861</v>
      </c>
      <c r="K24" s="13">
        <f>SUM(K13:K23)</f>
        <v>545743</v>
      </c>
      <c r="L24" s="13">
        <f t="shared" ref="L24:N24" si="4">SUM(L13:L23)</f>
        <v>526268</v>
      </c>
      <c r="M24" s="13">
        <f t="shared" si="4"/>
        <v>686700</v>
      </c>
      <c r="N24" s="13">
        <f t="shared" si="4"/>
        <v>6830999</v>
      </c>
    </row>
    <row r="25" spans="1:14" x14ac:dyDescent="0.3">
      <c r="A25" s="20" t="s">
        <v>36</v>
      </c>
      <c r="B25" s="20">
        <f t="shared" ref="B25:N25" si="5">SUM(B10-B24)</f>
        <v>471463</v>
      </c>
      <c r="C25" s="20">
        <f t="shared" si="5"/>
        <v>143878</v>
      </c>
      <c r="D25" s="20">
        <f t="shared" si="5"/>
        <v>-285928</v>
      </c>
      <c r="E25" s="20">
        <f t="shared" si="5"/>
        <v>608425</v>
      </c>
      <c r="F25" s="20">
        <f t="shared" si="5"/>
        <v>-60526</v>
      </c>
      <c r="G25" s="20">
        <f t="shared" si="5"/>
        <v>3461070</v>
      </c>
      <c r="H25" s="20">
        <f t="shared" si="5"/>
        <v>-57880</v>
      </c>
      <c r="I25" s="20">
        <f t="shared" si="5"/>
        <v>410174</v>
      </c>
      <c r="J25" s="20">
        <f t="shared" si="5"/>
        <v>-212482</v>
      </c>
      <c r="K25" s="20">
        <f t="shared" si="5"/>
        <v>27251</v>
      </c>
      <c r="L25" s="20">
        <f t="shared" si="5"/>
        <v>451616</v>
      </c>
      <c r="M25" s="20">
        <f t="shared" si="5"/>
        <v>1351365</v>
      </c>
      <c r="N25" s="20">
        <f t="shared" si="5"/>
        <v>6308426</v>
      </c>
    </row>
    <row r="26" spans="1:14" x14ac:dyDescent="0.3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</row>
    <row r="27" spans="1:14" x14ac:dyDescent="0.3">
      <c r="A27" s="13" t="s">
        <v>37</v>
      </c>
      <c r="B27" s="13">
        <v>-26189</v>
      </c>
      <c r="C27" s="13">
        <v>-15619.8</v>
      </c>
      <c r="D27" s="13">
        <v>-7022</v>
      </c>
      <c r="E27" s="13">
        <v>-5932.99</v>
      </c>
      <c r="F27" s="13">
        <v>-3920</v>
      </c>
      <c r="G27" s="13">
        <v>-40395.699999999997</v>
      </c>
      <c r="H27" s="13">
        <v>-1940.8879999999999</v>
      </c>
      <c r="I27" s="13">
        <v>-3920</v>
      </c>
      <c r="J27" s="13">
        <v>-2963.4</v>
      </c>
      <c r="K27" s="13">
        <v>-3057</v>
      </c>
      <c r="L27" s="13">
        <v>-27938</v>
      </c>
      <c r="M27" s="13">
        <v>-21894</v>
      </c>
      <c r="N27" s="13">
        <f>SUM(B27:M27)</f>
        <v>-160792.77799999999</v>
      </c>
    </row>
    <row r="28" spans="1:14" x14ac:dyDescent="0.3">
      <c r="A28" s="21" t="s">
        <v>38</v>
      </c>
      <c r="B28" s="21">
        <f>SUM(B25+B27)</f>
        <v>445274</v>
      </c>
      <c r="C28" s="21">
        <f t="shared" ref="C28:N28" si="6">SUM(C25+C27)</f>
        <v>128258.2</v>
      </c>
      <c r="D28" s="21">
        <f t="shared" si="6"/>
        <v>-292950</v>
      </c>
      <c r="E28" s="21">
        <f t="shared" si="6"/>
        <v>602492.01</v>
      </c>
      <c r="F28" s="21">
        <f t="shared" si="6"/>
        <v>-64446</v>
      </c>
      <c r="G28" s="21">
        <f t="shared" si="6"/>
        <v>3420674.3</v>
      </c>
      <c r="H28" s="21">
        <f t="shared" si="6"/>
        <v>-59820.887999999999</v>
      </c>
      <c r="I28" s="21">
        <f t="shared" si="6"/>
        <v>406254</v>
      </c>
      <c r="J28" s="21">
        <f t="shared" si="6"/>
        <v>-215445.4</v>
      </c>
      <c r="K28" s="21">
        <f t="shared" si="6"/>
        <v>24194</v>
      </c>
      <c r="L28" s="21">
        <f t="shared" si="6"/>
        <v>423678</v>
      </c>
      <c r="M28" s="21">
        <f t="shared" si="6"/>
        <v>1329471</v>
      </c>
      <c r="N28" s="21">
        <f t="shared" si="6"/>
        <v>6147633.2220000001</v>
      </c>
    </row>
    <row r="29" spans="1:14" x14ac:dyDescent="0.3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</row>
    <row r="30" spans="1:14" x14ac:dyDescent="0.3">
      <c r="A30" s="13"/>
      <c r="B30" s="13"/>
      <c r="C30" s="30" t="s">
        <v>39</v>
      </c>
      <c r="D30" s="30"/>
      <c r="E30" s="30"/>
      <c r="F30" s="30"/>
      <c r="G30" s="30"/>
      <c r="H30" s="30"/>
      <c r="I30" s="30"/>
      <c r="J30" s="30"/>
      <c r="K30" s="30"/>
      <c r="L30" s="30"/>
      <c r="M30" s="13"/>
      <c r="N30" s="13"/>
    </row>
    <row r="31" spans="1:14" x14ac:dyDescent="0.3">
      <c r="A31" s="13"/>
      <c r="B31" s="13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13"/>
      <c r="N31" s="13"/>
    </row>
  </sheetData>
  <sheetProtection algorithmName="SHA-512" hashValue="od8l9zI/F4tfrgBcdZRLLB78HZEcNYiErM1I6rsyURuOR6YzJ+Kq2VjSPmWLJ0fea8y9w0Jqs11vrY7V1EP+YQ==" saltValue="BlQ+DaSa4S12rMzZzO46lQ==" spinCount="100000" sheet="1" objects="1" scenarios="1"/>
  <mergeCells count="2">
    <mergeCell ref="B1:N2"/>
    <mergeCell ref="C30:L31"/>
  </mergeCells>
  <dataValidations xWindow="140" yWindow="352" count="8">
    <dataValidation allowBlank="1" showInputMessage="1" showErrorMessage="1" promptTitle="CURRENCY" prompt="State your desired currency here" sqref="A3" xr:uid="{9E387D90-C34E-425C-BD4E-D351463E20D0}"/>
    <dataValidation allowBlank="1" showInputMessage="1" showErrorMessage="1" promptTitle="INFO" prompt="This is a P&amp;L personal demo template and all figures in RED depict negative    (-) numbers_x000a__x000a_WARNING: Please beware this workbook and its content is protected thus, you can select any cell, rows or column for more information on the FORMULA BAR (fx) above" sqref="B1:N2" xr:uid="{2B25F2B5-A3B8-4A1A-9A06-D398E9232B19}"/>
    <dataValidation allowBlank="1" showInputMessage="1" showErrorMessage="1" promptTitle="NAME OF COMPANY/BUSINESS" prompt="Please insert name of company/business here" sqref="A1" xr:uid="{FDF343A0-6682-4B50-9B62-D15C987BB5EE}"/>
    <dataValidation allowBlank="1" showInputMessage="1" showErrorMessage="1" promptTitle="SUM TOTAL" prompt="All values in this column are AUTOMATED_x000a__x000a_Click on cell for more info on the FORMULA BAR (fx) above" sqref="N27:N28 N4:N10 N13:N24 N25" xr:uid="{A055FE7D-8529-4CE8-AF5B-EFF0813235A8}"/>
    <dataValidation allowBlank="1" showInputMessage="1" showErrorMessage="1" promptTitle="ROW VALUES" prompt="All values in this row are AUTOMATED_x000a__x000a_Click on cell for more info on the FORMULA BAR (fx) above" sqref="A28:I28 K28:M28" xr:uid="{FD7C18C3-34AB-4648-88B1-F79A578D8D05}"/>
    <dataValidation allowBlank="1" showInputMessage="1" showErrorMessage="1" promptTitle="ROW VALUES INFO" prompt="All values in this row are AUTOMATED_x000a__x000a_Click on cell for more info on the FORMULA BAR (fx) above" sqref="B25:M25 B10:M10" xr:uid="{40FBD795-E2EF-4949-AF2F-FDA3174E4F25}"/>
    <dataValidation allowBlank="1" showInputMessage="1" showErrorMessage="1" promptTitle="SAMPLE P&amp;L ACCOUNT" prompt="This is a sample P&amp;L statement._x000a__x000a_Author: EZEKIEL AGI ATE_x000a_Email: ezekielagi9@gmial.com" sqref="A2" xr:uid="{F185BB47-EAF7-4BCA-A7AD-7D318F5F474C}"/>
    <dataValidation allowBlank="1" showInputMessage="1" showErrorMessage="1" promptTitle="ROW VALUES  INFO" prompt="All values in this row are AUTOMATED_x000a__x000a_Click on cell for more info on the FORMULA BAR (fx) above" sqref="J28" xr:uid="{B2F09840-5A5D-4F38-B720-DB813C816DAF}"/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7AF77-D197-4C64-BBF7-C684D80F6075}">
  <sheetPr codeName="Sheet2"/>
  <dimension ref="A1:B36"/>
  <sheetViews>
    <sheetView topLeftCell="A18" workbookViewId="0">
      <selection activeCell="B3" sqref="B3"/>
    </sheetView>
  </sheetViews>
  <sheetFormatPr defaultRowHeight="18.75" x14ac:dyDescent="0.3"/>
  <cols>
    <col min="1" max="1" width="26.09765625" bestFit="1" customWidth="1"/>
    <col min="2" max="2" width="13.69921875" bestFit="1" customWidth="1"/>
  </cols>
  <sheetData>
    <row r="1" spans="1:2" x14ac:dyDescent="0.3">
      <c r="A1" s="31" t="s">
        <v>43</v>
      </c>
      <c r="B1" s="31"/>
    </row>
    <row r="2" spans="1:2" x14ac:dyDescent="0.3">
      <c r="A2" s="1" t="s">
        <v>12</v>
      </c>
      <c r="B2" s="2">
        <v>8303258</v>
      </c>
    </row>
    <row r="3" spans="1:2" x14ac:dyDescent="0.3">
      <c r="A3" s="1" t="s">
        <v>13</v>
      </c>
      <c r="B3" s="8">
        <v>9568789</v>
      </c>
    </row>
    <row r="4" spans="1:2" x14ac:dyDescent="0.3">
      <c r="A4" s="1" t="s">
        <v>14</v>
      </c>
      <c r="B4" s="2">
        <v>-370968</v>
      </c>
    </row>
    <row r="5" spans="1:2" x14ac:dyDescent="0.3">
      <c r="A5" s="1" t="s">
        <v>15</v>
      </c>
      <c r="B5" s="2">
        <v>17501079</v>
      </c>
    </row>
    <row r="6" spans="1:2" x14ac:dyDescent="0.3">
      <c r="A6" s="1"/>
      <c r="B6" s="2" t="s">
        <v>20</v>
      </c>
    </row>
    <row r="7" spans="1:2" x14ac:dyDescent="0.3">
      <c r="A7" s="1" t="s">
        <v>21</v>
      </c>
      <c r="B7" s="2">
        <v>4361654</v>
      </c>
    </row>
    <row r="8" spans="1:2" x14ac:dyDescent="0.3">
      <c r="A8" s="7" t="s">
        <v>22</v>
      </c>
      <c r="B8" s="2">
        <v>13139425</v>
      </c>
    </row>
    <row r="9" spans="1:2" x14ac:dyDescent="0.3">
      <c r="A9" s="1"/>
      <c r="B9" s="2"/>
    </row>
    <row r="10" spans="1:2" x14ac:dyDescent="0.3">
      <c r="A10" s="4" t="s">
        <v>23</v>
      </c>
      <c r="B10" s="2"/>
    </row>
    <row r="11" spans="1:2" x14ac:dyDescent="0.3">
      <c r="A11" s="1" t="s">
        <v>24</v>
      </c>
      <c r="B11" s="2">
        <v>486180</v>
      </c>
    </row>
    <row r="12" spans="1:2" x14ac:dyDescent="0.3">
      <c r="A12" s="1" t="s">
        <v>25</v>
      </c>
      <c r="B12" s="2">
        <v>177094</v>
      </c>
    </row>
    <row r="13" spans="1:2" x14ac:dyDescent="0.3">
      <c r="A13" s="1" t="s">
        <v>26</v>
      </c>
      <c r="B13" s="2">
        <v>252000</v>
      </c>
    </row>
    <row r="14" spans="1:2" x14ac:dyDescent="0.3">
      <c r="A14" s="1" t="s">
        <v>27</v>
      </c>
      <c r="B14" s="2">
        <v>171906</v>
      </c>
    </row>
    <row r="15" spans="1:2" x14ac:dyDescent="0.3">
      <c r="A15" s="1" t="s">
        <v>28</v>
      </c>
      <c r="B15" s="2">
        <v>322188</v>
      </c>
    </row>
    <row r="16" spans="1:2" x14ac:dyDescent="0.3">
      <c r="A16" s="1" t="s">
        <v>29</v>
      </c>
      <c r="B16" s="2">
        <v>433582</v>
      </c>
    </row>
    <row r="17" spans="1:2" x14ac:dyDescent="0.3">
      <c r="A17" s="1" t="s">
        <v>30</v>
      </c>
      <c r="B17" s="2">
        <v>4080000</v>
      </c>
    </row>
    <row r="18" spans="1:2" x14ac:dyDescent="0.3">
      <c r="A18" s="1" t="s">
        <v>31</v>
      </c>
      <c r="B18" s="2">
        <v>98301</v>
      </c>
    </row>
    <row r="19" spans="1:2" x14ac:dyDescent="0.3">
      <c r="A19" s="1" t="s">
        <v>32</v>
      </c>
      <c r="B19" s="2">
        <v>373906</v>
      </c>
    </row>
    <row r="20" spans="1:2" x14ac:dyDescent="0.3">
      <c r="A20" s="1" t="s">
        <v>33</v>
      </c>
      <c r="B20" s="2">
        <v>215549</v>
      </c>
    </row>
    <row r="21" spans="1:2" x14ac:dyDescent="0.3">
      <c r="A21" s="1" t="s">
        <v>34</v>
      </c>
      <c r="B21" s="2">
        <v>220293</v>
      </c>
    </row>
    <row r="22" spans="1:2" x14ac:dyDescent="0.3">
      <c r="A22" s="3" t="s">
        <v>35</v>
      </c>
      <c r="B22" s="2">
        <v>6830999</v>
      </c>
    </row>
    <row r="23" spans="1:2" x14ac:dyDescent="0.3">
      <c r="A23" s="6" t="s">
        <v>36</v>
      </c>
      <c r="B23" s="2">
        <v>6308426</v>
      </c>
    </row>
    <row r="24" spans="1:2" x14ac:dyDescent="0.3">
      <c r="A24" s="1"/>
      <c r="B24" s="2"/>
    </row>
    <row r="25" spans="1:2" x14ac:dyDescent="0.3">
      <c r="A25" s="1" t="s">
        <v>37</v>
      </c>
      <c r="B25" s="2">
        <v>-160792.77799999999</v>
      </c>
    </row>
    <row r="26" spans="1:2" x14ac:dyDescent="0.3">
      <c r="A26" s="5" t="s">
        <v>38</v>
      </c>
      <c r="B26" s="2">
        <v>6147633.2220000001</v>
      </c>
    </row>
    <row r="28" spans="1:2" x14ac:dyDescent="0.3">
      <c r="A28" s="32" t="s">
        <v>40</v>
      </c>
      <c r="B28" s="32"/>
    </row>
    <row r="29" spans="1:2" ht="18.75" customHeight="1" x14ac:dyDescent="0.3">
      <c r="A29" s="33" t="s">
        <v>42</v>
      </c>
      <c r="B29" s="34"/>
    </row>
    <row r="30" spans="1:2" x14ac:dyDescent="0.3">
      <c r="A30" s="34"/>
      <c r="B30" s="34"/>
    </row>
    <row r="31" spans="1:2" x14ac:dyDescent="0.3">
      <c r="A31" s="34"/>
      <c r="B31" s="34"/>
    </row>
    <row r="32" spans="1:2" x14ac:dyDescent="0.3">
      <c r="A32" s="34"/>
      <c r="B32" s="34"/>
    </row>
    <row r="33" spans="1:2" x14ac:dyDescent="0.3">
      <c r="A33" s="34"/>
      <c r="B33" s="34"/>
    </row>
    <row r="34" spans="1:2" x14ac:dyDescent="0.3">
      <c r="A34" s="34"/>
      <c r="B34" s="34"/>
    </row>
    <row r="35" spans="1:2" x14ac:dyDescent="0.3">
      <c r="A35" s="23" t="s">
        <v>41</v>
      </c>
      <c r="B35" s="22"/>
    </row>
    <row r="36" spans="1:2" x14ac:dyDescent="0.3">
      <c r="A36" s="22"/>
      <c r="B36" s="22"/>
    </row>
  </sheetData>
  <sheetProtection algorithmName="SHA-512" hashValue="z64ZiAc4sDmWz1K0xzkFAv/K8s+iXyQi1hzfFiQo+M80TuY+xE7PPk/DliR3NA5j1My7B6t6sbal3V7E0iiznA==" saltValue="HS7oimlB89VtHD+lYsRDRQ==" spinCount="100000" sheet="1" objects="1" scenarios="1"/>
  <mergeCells count="3">
    <mergeCell ref="A1:B1"/>
    <mergeCell ref="A28:B28"/>
    <mergeCell ref="A29:B34"/>
  </mergeCells>
  <dataValidations count="1">
    <dataValidation allowBlank="1" showInputMessage="1" showErrorMessage="1" promptTitle="SUM TOTAL" prompt="All values in this column are AUTOMATED_x000a__x000a_Click on cell for more info on the FUNCTION BAR (fx) above" sqref="B24:B25 B6:B7 B10:B22 B2:B4" xr:uid="{BE7FE826-E86F-41FD-97C7-85EEB7E7CEC6}"/>
  </dataValidations>
  <hyperlinks>
    <hyperlink ref="A35" r:id="rId1" tooltip="ezekielagi9@gmail.com" xr:uid="{4031C163-1282-4D75-BA0E-0CC46C26CC74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PROFIT &amp; LOSS (P&amp;L)</vt:lpstr>
      <vt:lpstr>P&amp;L 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Ezekiel</dc:creator>
  <cp:lastModifiedBy>Ezekiel</cp:lastModifiedBy>
  <dcterms:created xsi:type="dcterms:W3CDTF">2026-07-23T21:03:32Z</dcterms:created>
  <dcterms:modified xsi:type="dcterms:W3CDTF">2026-07-24T06:19:20Z</dcterms:modified>
</cp:coreProperties>
</file>